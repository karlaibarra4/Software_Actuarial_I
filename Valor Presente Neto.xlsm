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rla\OneDrive\Documentos\1er semestre\SOFTWARE ACTUARIAL I\"/>
    </mc:Choice>
  </mc:AlternateContent>
  <xr:revisionPtr revIDLastSave="0" documentId="13_ncr:1_{49007A80-C60C-483A-9BF6-282AC710D2FF}" xr6:coauthVersionLast="41" xr6:coauthVersionMax="41" xr10:uidLastSave="{00000000-0000-0000-0000-000000000000}"/>
  <bookViews>
    <workbookView xWindow="-120" yWindow="-120" windowWidth="20730" windowHeight="11160" xr2:uid="{8DDD1908-59E8-42B3-A31C-A6F13B6D03BF}"/>
  </bookViews>
  <sheets>
    <sheet name="Sheet3" sheetId="42" r:id="rId1"/>
    <sheet name="Sheet2" sheetId="41" r:id="rId2"/>
    <sheet name="Sheet1" sheetId="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1" i="1" l="1"/>
  <c r="D11" i="1"/>
  <c r="E11" i="1"/>
  <c r="F11" i="1"/>
  <c r="G11" i="1"/>
  <c r="H11" i="1"/>
  <c r="I11" i="1"/>
  <c r="J11" i="1"/>
  <c r="K11" i="1"/>
  <c r="B11" i="1"/>
  <c r="C10" i="1"/>
  <c r="D10" i="1" s="1"/>
  <c r="E10" i="1" s="1"/>
  <c r="F10" i="1" s="1"/>
  <c r="G10" i="1" s="1"/>
  <c r="H10" i="1" s="1"/>
  <c r="I10" i="1" s="1"/>
  <c r="J10" i="1" s="1"/>
  <c r="K10" i="1" s="1"/>
  <c r="B13" i="1" l="1"/>
</calcChain>
</file>

<file path=xl/sharedStrings.xml><?xml version="1.0" encoding="utf-8"?>
<sst xmlns="http://schemas.openxmlformats.org/spreadsheetml/2006/main" count="40" uniqueCount="20">
  <si>
    <t>Datos de entrada</t>
  </si>
  <si>
    <t>2. Flujo de entrada al final del año 1</t>
  </si>
  <si>
    <t>3. Tasa de incremento del flujo de entrada al año</t>
  </si>
  <si>
    <t>4. Número de años de los flujos de entrada</t>
  </si>
  <si>
    <t xml:space="preserve">5. Tasa de descuento </t>
  </si>
  <si>
    <t xml:space="preserve">Cálculo de el valor presente neto de una serie de flujos </t>
  </si>
  <si>
    <t>1. Flujo de salida al inicio del año 1 (Inv. Inicial)</t>
  </si>
  <si>
    <t xml:space="preserve">Año </t>
  </si>
  <si>
    <t>Modelo de flujos</t>
  </si>
  <si>
    <t xml:space="preserve">Flujo de efectivo </t>
  </si>
  <si>
    <t xml:space="preserve">Factor de descuento </t>
  </si>
  <si>
    <t xml:space="preserve">Valor Presente Neto </t>
  </si>
  <si>
    <t>5. Tasa de descuento</t>
  </si>
  <si>
    <t>Año</t>
  </si>
  <si>
    <t>Factor de descuento</t>
  </si>
  <si>
    <t>Valor Presente Neto</t>
  </si>
  <si>
    <t>Cálculo de el valor presente neto de una serie de flujos</t>
  </si>
  <si>
    <t>Flujo de efectivo</t>
  </si>
  <si>
    <t>VPN</t>
  </si>
  <si>
    <t>Tasa de descuento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</si>
</sst>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* #,##0.00_-;\-&quot;$&quot;* #,##0.00_-;_-&quot;$&quot;* &quot;-&quot;??_-;_-@_-"/>
    <numFmt numFmtId="164" formatCode="&quot;$&quot;#,##0.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1">
    <xf numFmtId="0" fontId="0" fillId="0" borderId="0" xfId="0"/>
    <xf numFmtId="0" fontId="0" fillId="2" borderId="0" xfId="0" applyFill="1"/>
    <xf numFmtId="9" fontId="0" fillId="2" borderId="0" xfId="0" applyNumberFormat="1" applyFill="1"/>
    <xf numFmtId="0" fontId="1" fillId="0" borderId="0" xfId="0" applyFont="1"/>
    <xf numFmtId="164" fontId="0" fillId="0" borderId="0" xfId="0" applyNumberFormat="1"/>
    <xf numFmtId="164" fontId="0" fillId="2" borderId="0" xfId="0" applyNumberFormat="1" applyFill="1"/>
    <xf numFmtId="44" fontId="0" fillId="2" borderId="0" xfId="1" applyFont="1" applyFill="1"/>
    <xf numFmtId="9" fontId="0" fillId="2" borderId="0" xfId="2" applyFont="1" applyFill="1"/>
    <xf numFmtId="44" fontId="0" fillId="0" borderId="0" xfId="1" applyFont="1"/>
    <xf numFmtId="9" fontId="0" fillId="0" borderId="0" xfId="2" applyFont="1"/>
    <xf numFmtId="0" fontId="0" fillId="0" borderId="0" xfId="0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9DD73-9595-4ECB-AC7C-5315CB56B2A5}">
  <sheetPr codeName="Sheet3"/>
  <dimension ref="A1:K21"/>
  <sheetViews>
    <sheetView tabSelected="1" workbookViewId="0">
      <selection activeCell="B1" sqref="B1:F1"/>
    </sheetView>
  </sheetViews>
  <sheetFormatPr defaultRowHeight="15" x14ac:dyDescent="0.25"/>
  <cols>
    <col min="1" max="1" width="45" bestFit="1" customWidth="1"/>
    <col min="2" max="2" width="17.5703125" bestFit="1" customWidth="1"/>
    <col min="3" max="3" width="12.5703125" bestFit="1" customWidth="1"/>
    <col min="4" max="5" width="12" bestFit="1" customWidth="1"/>
    <col min="6" max="6" width="11.5703125" bestFit="1" customWidth="1"/>
    <col min="7" max="11" width="12" bestFit="1" customWidth="1"/>
  </cols>
  <sheetData>
    <row r="1" spans="1:11" x14ac:dyDescent="0.25">
      <c r="A1" s="3" t="s">
        <v>0</v>
      </c>
      <c r="B1" s="10" t="s">
        <v>16</v>
      </c>
      <c r="C1" s="10"/>
      <c r="D1" s="10"/>
      <c r="E1" s="10"/>
      <c r="F1" s="10"/>
    </row>
    <row r="2" spans="1:11" x14ac:dyDescent="0.25">
      <c r="A2" t="s">
        <v>6</v>
      </c>
      <c r="B2" s="6">
        <v>40000</v>
      </c>
    </row>
    <row r="3" spans="1:11" x14ac:dyDescent="0.25">
      <c r="A3" t="s">
        <v>1</v>
      </c>
      <c r="B3" s="6">
        <v>12000</v>
      </c>
    </row>
    <row r="4" spans="1:11" x14ac:dyDescent="0.25">
      <c r="A4" t="s">
        <v>2</v>
      </c>
      <c r="B4" s="7">
        <v>0.11999999731779099</v>
      </c>
    </row>
    <row r="5" spans="1:11" x14ac:dyDescent="0.25">
      <c r="A5" t="s">
        <v>3</v>
      </c>
      <c r="B5" s="1">
        <v>10</v>
      </c>
    </row>
    <row r="6" spans="1:11" x14ac:dyDescent="0.25">
      <c r="A6" t="s">
        <v>12</v>
      </c>
      <c r="B6" s="7">
        <v>0.15999999642372131</v>
      </c>
    </row>
    <row r="8" spans="1:11" x14ac:dyDescent="0.25">
      <c r="A8" s="3" t="s">
        <v>8</v>
      </c>
    </row>
    <row r="9" spans="1:11" x14ac:dyDescent="0.25">
      <c r="A9" t="s">
        <v>13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A10" t="s">
        <v>17</v>
      </c>
      <c r="B10" s="8">
        <v>12000</v>
      </c>
      <c r="C10" s="8">
        <v>13440.000057220459</v>
      </c>
      <c r="D10" s="8">
        <v>15052.800128173829</v>
      </c>
      <c r="E10" s="8">
        <v>16859.136215332033</v>
      </c>
      <c r="F10" s="8">
        <v>18882.232641562499</v>
      </c>
      <c r="G10" s="8">
        <v>21148.100648587504</v>
      </c>
      <c r="H10" s="8">
        <v>23685.872827260006</v>
      </c>
      <c r="I10" s="8">
        <v>26528.177679474251</v>
      </c>
      <c r="J10" s="8">
        <v>29711.559127507371</v>
      </c>
      <c r="K10" s="8">
        <v>33276.946364484007</v>
      </c>
    </row>
    <row r="11" spans="1:11" x14ac:dyDescent="0.25">
      <c r="A11" t="s">
        <v>14</v>
      </c>
      <c r="B11">
        <v>0.86206901073455811</v>
      </c>
      <c r="C11">
        <v>0.75757580995559692</v>
      </c>
      <c r="D11">
        <v>0.67567569017410278</v>
      </c>
      <c r="E11">
        <v>0.60975611209869385</v>
      </c>
      <c r="F11">
        <v>0.55555558204650879</v>
      </c>
      <c r="G11">
        <v>0.51020407676696777</v>
      </c>
      <c r="H11">
        <v>0.47169813513755798</v>
      </c>
      <c r="I11">
        <v>0.43859648704528809</v>
      </c>
      <c r="J11">
        <v>0.4098360538482666</v>
      </c>
      <c r="K11">
        <v>0.38461539149284363</v>
      </c>
    </row>
    <row r="13" spans="1:11" x14ac:dyDescent="0.25">
      <c r="A13" t="s">
        <v>15</v>
      </c>
      <c r="B13" s="8">
        <v>70040.837872423173</v>
      </c>
    </row>
    <row r="16" spans="1:11" x14ac:dyDescent="0.25">
      <c r="B16" s="3" t="s">
        <v>19</v>
      </c>
      <c r="C16" s="3" t="s">
        <v>18</v>
      </c>
    </row>
    <row r="17" spans="2:3" x14ac:dyDescent="0.25">
      <c r="B17" s="9">
        <v>0.05</v>
      </c>
      <c r="C17" s="8">
        <v>121328.1313351733</v>
      </c>
    </row>
    <row r="18" spans="2:3" x14ac:dyDescent="0.25">
      <c r="B18" s="9">
        <v>0.1</v>
      </c>
      <c r="C18" s="8">
        <v>92483.004814099753</v>
      </c>
    </row>
    <row r="19" spans="2:3" x14ac:dyDescent="0.25">
      <c r="B19" s="9">
        <v>0.16</v>
      </c>
      <c r="C19" s="8">
        <v>70040.835476238994</v>
      </c>
    </row>
    <row r="20" spans="2:3" x14ac:dyDescent="0.25">
      <c r="B20" s="9">
        <v>0.2</v>
      </c>
      <c r="C20" s="8">
        <v>59203.921721413302</v>
      </c>
    </row>
    <row r="21" spans="2:3" x14ac:dyDescent="0.25">
      <c r="B21" s="9">
        <v>0.25</v>
      </c>
      <c r="C21" s="8">
        <v>48547.999552176712</v>
      </c>
    </row>
  </sheetData>
  <mergeCells count="1">
    <mergeCell ref="B1:F1"/>
  </mergeCells>
  <pageMargins left="0.7" right="0.7" top="0.75" bottom="0.75" header="0.3" footer="0.3"/>
  <pageSetup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CB000-63F2-4CFC-9115-9FC50DA9ADC9}">
  <sheetPr codeName="Sheet2"/>
  <dimension ref="A1:K21"/>
  <sheetViews>
    <sheetView workbookViewId="0">
      <selection activeCell="B1" sqref="B1:F1"/>
    </sheetView>
  </sheetViews>
  <sheetFormatPr defaultRowHeight="15" x14ac:dyDescent="0.25"/>
  <cols>
    <col min="1" max="1" width="45" bestFit="1" customWidth="1"/>
    <col min="2" max="2" width="17.5703125" bestFit="1" customWidth="1"/>
    <col min="3" max="3" width="12.5703125" bestFit="1" customWidth="1"/>
    <col min="4" max="5" width="12" bestFit="1" customWidth="1"/>
    <col min="6" max="6" width="11.5703125" bestFit="1" customWidth="1"/>
    <col min="7" max="11" width="12" bestFit="1" customWidth="1"/>
  </cols>
  <sheetData>
    <row r="1" spans="1:11" x14ac:dyDescent="0.25">
      <c r="A1" s="3" t="s">
        <v>0</v>
      </c>
      <c r="B1" s="10" t="s">
        <v>16</v>
      </c>
      <c r="C1" s="10"/>
      <c r="D1" s="10"/>
      <c r="E1" s="10"/>
      <c r="F1" s="10"/>
    </row>
    <row r="2" spans="1:11" x14ac:dyDescent="0.25">
      <c r="A2" t="s">
        <v>6</v>
      </c>
      <c r="B2" s="6">
        <v>40000</v>
      </c>
    </row>
    <row r="3" spans="1:11" x14ac:dyDescent="0.25">
      <c r="A3" t="s">
        <v>1</v>
      </c>
      <c r="B3" s="6">
        <v>12000</v>
      </c>
    </row>
    <row r="4" spans="1:11" x14ac:dyDescent="0.25">
      <c r="A4" t="s">
        <v>2</v>
      </c>
      <c r="B4" s="7">
        <v>0.11999999731779099</v>
      </c>
    </row>
    <row r="5" spans="1:11" x14ac:dyDescent="0.25">
      <c r="A5" t="s">
        <v>3</v>
      </c>
      <c r="B5" s="1">
        <v>10</v>
      </c>
    </row>
    <row r="6" spans="1:11" x14ac:dyDescent="0.25">
      <c r="A6" t="s">
        <v>12</v>
      </c>
      <c r="B6" s="7">
        <v>0.15999999642372131</v>
      </c>
    </row>
    <row r="8" spans="1:11" x14ac:dyDescent="0.25">
      <c r="A8" s="3" t="s">
        <v>8</v>
      </c>
    </row>
    <row r="9" spans="1:11" x14ac:dyDescent="0.25">
      <c r="A9" t="s">
        <v>13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A10" t="s">
        <v>17</v>
      </c>
      <c r="B10" s="8">
        <v>12000</v>
      </c>
      <c r="C10" s="8">
        <v>13440.000057220459</v>
      </c>
      <c r="D10" s="8">
        <v>15052.800128173829</v>
      </c>
      <c r="E10" s="8">
        <v>16859.136215332033</v>
      </c>
      <c r="F10" s="8">
        <v>18882.232641562499</v>
      </c>
      <c r="G10" s="8">
        <v>21148.100648587504</v>
      </c>
      <c r="H10" s="8">
        <v>23685.872827260006</v>
      </c>
      <c r="I10" s="8">
        <v>26528.177679474251</v>
      </c>
      <c r="J10" s="8">
        <v>29711.559127507371</v>
      </c>
      <c r="K10" s="8">
        <v>33276.946364484007</v>
      </c>
    </row>
    <row r="11" spans="1:11" x14ac:dyDescent="0.25">
      <c r="A11" t="s">
        <v>14</v>
      </c>
      <c r="B11">
        <v>0.86206901073455811</v>
      </c>
      <c r="C11">
        <v>0.75757580995559692</v>
      </c>
      <c r="D11">
        <v>0.67567569017410278</v>
      </c>
      <c r="E11">
        <v>0.60975611209869385</v>
      </c>
      <c r="F11">
        <v>0.55555558204650879</v>
      </c>
      <c r="G11">
        <v>0.51020407676696777</v>
      </c>
      <c r="H11">
        <v>0.47169813513755798</v>
      </c>
      <c r="I11">
        <v>0.43859648704528809</v>
      </c>
      <c r="J11">
        <v>0.4098360538482666</v>
      </c>
      <c r="K11">
        <v>0.38461539149284363</v>
      </c>
    </row>
    <row r="13" spans="1:11" x14ac:dyDescent="0.25">
      <c r="A13" t="s">
        <v>15</v>
      </c>
      <c r="B13" s="8">
        <v>70040.837872423159</v>
      </c>
    </row>
    <row r="16" spans="1:11" x14ac:dyDescent="0.25">
      <c r="B16" s="3" t="s">
        <v>19</v>
      </c>
      <c r="C16" s="3" t="s">
        <v>18</v>
      </c>
    </row>
    <row r="17" spans="2:3" x14ac:dyDescent="0.25">
      <c r="B17" s="9">
        <v>0.05</v>
      </c>
      <c r="C17" s="8">
        <v>121328.13133517331</v>
      </c>
    </row>
    <row r="18" spans="2:3" x14ac:dyDescent="0.25">
      <c r="B18" s="9">
        <v>0.1</v>
      </c>
      <c r="C18" s="8">
        <v>92483.004814099753</v>
      </c>
    </row>
    <row r="19" spans="2:3" x14ac:dyDescent="0.25">
      <c r="B19" s="9">
        <v>0.16</v>
      </c>
      <c r="C19" s="8">
        <v>70040.835476238994</v>
      </c>
    </row>
    <row r="20" spans="2:3" x14ac:dyDescent="0.25">
      <c r="B20" s="9">
        <v>0.2</v>
      </c>
      <c r="C20" s="8">
        <v>59203.921721413302</v>
      </c>
    </row>
    <row r="21" spans="2:3" x14ac:dyDescent="0.25">
      <c r="B21" s="9">
        <v>0.25</v>
      </c>
      <c r="C21" s="8">
        <v>48547.99955217672</v>
      </c>
    </row>
  </sheetData>
  <mergeCells count="1">
    <mergeCell ref="B1:F1"/>
  </mergeCells>
  <pageMargins left="0.7" right="0.7" top="0.75" bottom="0.75" header="0.3" footer="0.3"/>
  <pageSetup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24B3BB-F1A7-410A-8E9D-6BFF9074D624}">
  <sheetPr codeName="Sheet1"/>
  <dimension ref="A1:K15"/>
  <sheetViews>
    <sheetView topLeftCell="A2" workbookViewId="0">
      <selection activeCell="B16" sqref="B16"/>
    </sheetView>
  </sheetViews>
  <sheetFormatPr defaultRowHeight="15" x14ac:dyDescent="0.25"/>
  <cols>
    <col min="1" max="1" width="45.7109375" customWidth="1"/>
    <col min="2" max="3" width="10.140625" bestFit="1" customWidth="1"/>
    <col min="4" max="4" width="11" customWidth="1"/>
    <col min="5" max="5" width="11.140625" customWidth="1"/>
    <col min="6" max="6" width="10.85546875" customWidth="1"/>
    <col min="7" max="7" width="11.140625" customWidth="1"/>
    <col min="8" max="8" width="10" customWidth="1"/>
    <col min="9" max="9" width="10.7109375" customWidth="1"/>
    <col min="10" max="10" width="10.5703125" customWidth="1"/>
    <col min="11" max="11" width="10.85546875" customWidth="1"/>
  </cols>
  <sheetData>
    <row r="1" spans="1:11" x14ac:dyDescent="0.25">
      <c r="A1" s="3" t="s">
        <v>0</v>
      </c>
      <c r="B1" s="10" t="s">
        <v>5</v>
      </c>
      <c r="C1" s="10"/>
      <c r="D1" s="10"/>
      <c r="E1" s="10"/>
      <c r="F1" s="10"/>
      <c r="G1" s="10"/>
      <c r="H1" s="10"/>
    </row>
    <row r="2" spans="1:11" x14ac:dyDescent="0.25">
      <c r="A2" t="s">
        <v>6</v>
      </c>
      <c r="B2" s="5">
        <v>40000</v>
      </c>
    </row>
    <row r="3" spans="1:11" x14ac:dyDescent="0.25">
      <c r="A3" t="s">
        <v>1</v>
      </c>
      <c r="B3" s="5">
        <v>12000</v>
      </c>
    </row>
    <row r="4" spans="1:11" x14ac:dyDescent="0.25">
      <c r="A4" t="s">
        <v>2</v>
      </c>
      <c r="B4" s="2">
        <v>0.12</v>
      </c>
    </row>
    <row r="5" spans="1:11" x14ac:dyDescent="0.25">
      <c r="A5" t="s">
        <v>3</v>
      </c>
      <c r="B5" s="1">
        <v>10</v>
      </c>
    </row>
    <row r="6" spans="1:11" x14ac:dyDescent="0.25">
      <c r="A6" t="s">
        <v>4</v>
      </c>
      <c r="B6" s="2">
        <v>0.16</v>
      </c>
    </row>
    <row r="8" spans="1:11" x14ac:dyDescent="0.25">
      <c r="A8" s="3" t="s">
        <v>8</v>
      </c>
    </row>
    <row r="9" spans="1:11" x14ac:dyDescent="0.25">
      <c r="A9" t="s">
        <v>7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A10" t="s">
        <v>9</v>
      </c>
      <c r="B10" s="4">
        <v>12000</v>
      </c>
      <c r="C10" s="4">
        <f>B10*(1+$B$4)</f>
        <v>13440.000000000002</v>
      </c>
      <c r="D10" s="4">
        <f t="shared" ref="D10:K10" si="0">C10*(1+$B$4)</f>
        <v>15052.800000000003</v>
      </c>
      <c r="E10" s="4">
        <f t="shared" si="0"/>
        <v>16859.136000000006</v>
      </c>
      <c r="F10" s="4">
        <f t="shared" si="0"/>
        <v>18882.23232000001</v>
      </c>
      <c r="G10" s="4">
        <f t="shared" si="0"/>
        <v>21148.100198400014</v>
      </c>
      <c r="H10" s="4">
        <f t="shared" si="0"/>
        <v>23685.872222208018</v>
      </c>
      <c r="I10" s="4">
        <f t="shared" si="0"/>
        <v>26528.176888872982</v>
      </c>
      <c r="J10" s="4">
        <f t="shared" si="0"/>
        <v>29711.558115537744</v>
      </c>
      <c r="K10" s="4">
        <f t="shared" si="0"/>
        <v>33276.945089402274</v>
      </c>
    </row>
    <row r="11" spans="1:11" x14ac:dyDescent="0.25">
      <c r="A11" t="s">
        <v>10</v>
      </c>
      <c r="B11">
        <f>1/(1+B9*$B$6)</f>
        <v>0.86206896551724144</v>
      </c>
      <c r="C11">
        <f t="shared" ref="C11:K11" si="1">1/(1+C9*$B$6)</f>
        <v>0.75757575757575757</v>
      </c>
      <c r="D11">
        <f t="shared" si="1"/>
        <v>0.67567567567567566</v>
      </c>
      <c r="E11">
        <f t="shared" si="1"/>
        <v>0.6097560975609756</v>
      </c>
      <c r="F11">
        <f t="shared" si="1"/>
        <v>0.55555555555555558</v>
      </c>
      <c r="G11">
        <f t="shared" si="1"/>
        <v>0.51020408163265307</v>
      </c>
      <c r="H11">
        <f t="shared" si="1"/>
        <v>0.47169811320754712</v>
      </c>
      <c r="I11">
        <f t="shared" si="1"/>
        <v>0.43859649122807015</v>
      </c>
      <c r="J11">
        <f t="shared" si="1"/>
        <v>0.4098360655737705</v>
      </c>
      <c r="K11">
        <f t="shared" si="1"/>
        <v>0.38461538461538458</v>
      </c>
    </row>
    <row r="13" spans="1:11" x14ac:dyDescent="0.25">
      <c r="A13" t="s">
        <v>11</v>
      </c>
      <c r="B13" s="4">
        <f>-B2+B10*B11+C10*C11+D10*D11+E10*E11+F10*F11+G10*G11+H10*H11+I10*I11+J10*J11+K10*K11</f>
        <v>70040.833314664094</v>
      </c>
    </row>
    <row r="14" spans="1:11" x14ac:dyDescent="0.25">
      <c r="D14" s="4"/>
    </row>
    <row r="15" spans="1:11" x14ac:dyDescent="0.25">
      <c r="B15" s="4"/>
    </row>
  </sheetData>
  <mergeCells count="1">
    <mergeCell ref="B1:H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Sheet3</vt:lpstr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Karla Garcia Ibarra</dc:creator>
  <cp:lastModifiedBy>Karla Garcia Ibarra</cp:lastModifiedBy>
  <dcterms:created xsi:type="dcterms:W3CDTF">2019-02-14T00:24:30Z</dcterms:created>
  <dcterms:modified xsi:type="dcterms:W3CDTF">2019-03-12T00:24:52Z</dcterms:modified>
</cp:coreProperties>
</file>